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26A1B"/>
      </patternFill>
    </fill>
  </fills>
  <borders count="2">
    <border>
      <left/>
      <right/>
      <top/>
      <bottom/>
      <diagonal/>
    </border>
    <border>
      <left style="thin">
        <color rgb="00ECE7E1"/>
      </left>
      <right style="thin">
        <color rgb="00ECE7E1"/>
      </right>
      <top style="thin">
        <color rgb="00ECE7E1"/>
      </top>
      <bottom style="thin">
        <color rgb="00ECE7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58" customWidth="1" min="3" max="3"/>
    <col width="8" customWidth="1" min="4" max="4"/>
    <col width="9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Kuyumcu Mağazası · Aydınlatma Malzeme Listesi · GMC LED · 17 Ekim 2026 · Rev. C</t>
        </is>
      </c>
    </row>
    <row r="3">
      <c r="A3" s="2" t="inlineStr">
        <is>
          <t>Grup</t>
        </is>
      </c>
      <c r="B3" s="2" t="inlineStr">
        <is>
          <t>Ürün kodu</t>
        </is>
      </c>
      <c r="C3" s="2" t="inlineStr">
        <is>
          <t>Açıklama</t>
        </is>
      </c>
      <c r="D3" s="2" t="inlineStr">
        <is>
          <t>Birim</t>
        </is>
      </c>
      <c r="E3" s="2" t="inlineStr">
        <is>
          <t>Miktar</t>
        </is>
      </c>
      <c r="F3" s="2" t="inlineStr">
        <is>
          <t>Güç (W)</t>
        </is>
      </c>
      <c r="G3" s="2" t="inlineStr">
        <is>
          <t>Toplam güç (W)</t>
        </is>
      </c>
      <c r="H3" s="2" t="inlineStr">
        <is>
          <t>Birim fiyat (TL)</t>
        </is>
      </c>
      <c r="I3" s="2" t="inlineStr">
        <is>
          <t>Tutar (TL)</t>
        </is>
      </c>
    </row>
    <row r="4">
      <c r="A4" s="3" t="inlineStr">
        <is>
          <t>Armatür</t>
        </is>
      </c>
      <c r="B4" s="3" t="inlineStr">
        <is>
          <t>ETNA 26</t>
        </is>
      </c>
      <c r="C4" s="3" t="inlineStr">
        <is>
          <t>Vitrin/banko takı armatürü, 26 mercek, 4000 K, 34°, DALI</t>
        </is>
      </c>
      <c r="D4" s="3" t="inlineStr">
        <is>
          <t>adet</t>
        </is>
      </c>
      <c r="E4" s="3" t="n">
        <v>22</v>
      </c>
      <c r="F4" s="3" t="n">
        <v>50</v>
      </c>
      <c r="G4" s="3" t="n">
        <v>1100</v>
      </c>
      <c r="H4" s="3" t="inlineStr"/>
      <c r="I4" s="3">
        <f>E4*H4</f>
        <v/>
      </c>
    </row>
    <row r="5">
      <c r="A5" s="3" t="inlineStr">
        <is>
          <t>Armatür</t>
        </is>
      </c>
      <c r="B5" s="3" t="inlineStr">
        <is>
          <t>BLADE 12</t>
        </is>
      </c>
      <c r="C5" s="3" t="inlineStr">
        <is>
          <t>Genel aydınlatma gömme, 12 göz, 3000 K, 48°, dim</t>
        </is>
      </c>
      <c r="D5" s="3" t="inlineStr">
        <is>
          <t>adet</t>
        </is>
      </c>
      <c r="E5" s="3" t="n">
        <v>17</v>
      </c>
      <c r="F5" s="3" t="n">
        <v>21</v>
      </c>
      <c r="G5" s="3" t="n">
        <v>357</v>
      </c>
      <c r="H5" s="3" t="inlineStr"/>
      <c r="I5" s="3">
        <f>E5*H5</f>
        <v/>
      </c>
    </row>
    <row r="6">
      <c r="A6" s="3" t="inlineStr">
        <is>
          <t>Armatür</t>
        </is>
      </c>
      <c r="B6" s="3" t="inlineStr">
        <is>
          <t>PLAIN S</t>
        </is>
      </c>
      <c r="C6" s="3" t="inlineStr">
        <is>
          <t>İnce boru sarkıt, 3000 K, kablolu, siyah</t>
        </is>
      </c>
      <c r="D6" s="3" t="inlineStr">
        <is>
          <t>adet</t>
        </is>
      </c>
      <c r="E6" s="3" t="n">
        <v>3</v>
      </c>
      <c r="F6" s="3" t="n">
        <v>3</v>
      </c>
      <c r="G6" s="3" t="n">
        <v>9</v>
      </c>
      <c r="H6" s="3" t="inlineStr"/>
      <c r="I6" s="3">
        <f>E6*H6</f>
        <v/>
      </c>
    </row>
    <row r="7">
      <c r="A7" s="3" t="inlineStr">
        <is>
          <t>Armatür</t>
        </is>
      </c>
      <c r="B7" s="3" t="inlineStr">
        <is>
          <t>ŞERİT M/60 İÇ</t>
        </is>
      </c>
      <c r="C7" s="3" t="inlineStr">
        <is>
          <t>Şerit LED 3000 K, 24 V, 14,4 W/m (gizli kademe)</t>
        </is>
      </c>
      <c r="D7" s="3" t="inlineStr">
        <is>
          <t>m</t>
        </is>
      </c>
      <c r="E7" s="3" t="n">
        <v>8</v>
      </c>
      <c r="F7" s="3" t="n">
        <v>14.4</v>
      </c>
      <c r="G7" s="3" t="n">
        <v>115</v>
      </c>
      <c r="H7" s="3" t="inlineStr"/>
      <c r="I7" s="3">
        <f>E7*H7</f>
        <v/>
      </c>
    </row>
    <row r="8">
      <c r="A8" s="3" t="inlineStr">
        <is>
          <t>Armatür</t>
        </is>
      </c>
      <c r="B8" s="3" t="inlineStr">
        <is>
          <t>GMC6036</t>
        </is>
      </c>
      <c r="C8" s="3" t="inlineStr">
        <is>
          <t>Magnet ray spot 20 W, 24°, 3000 K</t>
        </is>
      </c>
      <c r="D8" s="3" t="inlineStr">
        <is>
          <t>adet</t>
        </is>
      </c>
      <c r="E8" s="3" t="n">
        <v>7</v>
      </c>
      <c r="F8" s="3" t="n">
        <v>20</v>
      </c>
      <c r="G8" s="3" t="n">
        <v>140</v>
      </c>
      <c r="H8" s="3" t="inlineStr"/>
      <c r="I8" s="3">
        <f>E8*H8</f>
        <v/>
      </c>
    </row>
    <row r="9">
      <c r="A9" s="3" t="inlineStr">
        <is>
          <t>Ray</t>
        </is>
      </c>
      <c r="B9" s="3" t="inlineStr">
        <is>
          <t>Magnet ray sıva altı</t>
        </is>
      </c>
      <c r="C9" s="3" t="inlineStr">
        <is>
          <t>Magnet ray, sıva altı profil, 48 V</t>
        </is>
      </c>
      <c r="D9" s="3" t="inlineStr">
        <is>
          <t>m</t>
        </is>
      </c>
      <c r="E9" s="3" t="n">
        <v>3.3</v>
      </c>
      <c r="F9" s="3" t="inlineStr"/>
      <c r="G9" s="3" t="inlineStr"/>
      <c r="H9" s="3" t="inlineStr"/>
      <c r="I9" s="3">
        <f>E9*H9</f>
        <v/>
      </c>
    </row>
    <row r="10">
      <c r="A10" s="3" t="inlineStr">
        <is>
          <t>Sürücü</t>
        </is>
      </c>
      <c r="B10" s="3" t="inlineStr">
        <is>
          <t>DALI sürücü 50 W</t>
        </is>
      </c>
      <c r="C10" s="3" t="inlineStr">
        <is>
          <t>ETNA 26 için (vitrin C1 / banko C2 ayrı hat)</t>
        </is>
      </c>
      <c r="D10" s="3" t="inlineStr">
        <is>
          <t>adet</t>
        </is>
      </c>
      <c r="E10" s="3" t="n">
        <v>22</v>
      </c>
      <c r="F10" s="3" t="inlineStr"/>
      <c r="G10" s="3" t="inlineStr"/>
      <c r="H10" s="3" t="inlineStr"/>
      <c r="I10" s="3">
        <f>E10*H10</f>
        <v/>
      </c>
    </row>
    <row r="11">
      <c r="A11" s="3" t="inlineStr">
        <is>
          <t>Sürücü</t>
        </is>
      </c>
      <c r="B11" s="3" t="inlineStr">
        <is>
          <t>Dim sürücü 21 W</t>
        </is>
      </c>
      <c r="C11" s="3" t="inlineStr">
        <is>
          <t>BLADE 12 için (C3)</t>
        </is>
      </c>
      <c r="D11" s="3" t="inlineStr">
        <is>
          <t>adet</t>
        </is>
      </c>
      <c r="E11" s="3" t="n">
        <v>17</v>
      </c>
      <c r="F11" s="3" t="inlineStr"/>
      <c r="G11" s="3" t="inlineStr"/>
      <c r="H11" s="3" t="inlineStr"/>
      <c r="I11" s="3">
        <f>E11*H11</f>
        <v/>
      </c>
    </row>
    <row r="12">
      <c r="A12" s="3" t="inlineStr">
        <is>
          <t>Sürücü</t>
        </is>
      </c>
      <c r="B12" s="3" t="inlineStr">
        <is>
          <t>24 V 150 W sürücü</t>
        </is>
      </c>
      <c r="C12" s="3" t="inlineStr">
        <is>
          <t>Şerit LED 8 m (115 W) + PLAIN S</t>
        </is>
      </c>
      <c r="D12" s="3" t="inlineStr">
        <is>
          <t>adet</t>
        </is>
      </c>
      <c r="E12" s="3" t="n">
        <v>1</v>
      </c>
      <c r="F12" s="3" t="inlineStr"/>
      <c r="G12" s="3" t="inlineStr"/>
      <c r="H12" s="3" t="inlineStr"/>
      <c r="I12" s="3">
        <f>E12*H12</f>
        <v/>
      </c>
    </row>
    <row r="13">
      <c r="A13" s="3" t="inlineStr">
        <is>
          <t>Sürücü</t>
        </is>
      </c>
      <c r="B13" s="3" t="inlineStr">
        <is>
          <t>48 V magnet sürücü</t>
        </is>
      </c>
      <c r="C13" s="3" t="inlineStr">
        <is>
          <t>Magnet ray hattı (C5), 200 W</t>
        </is>
      </c>
      <c r="D13" s="3" t="inlineStr">
        <is>
          <t>adet</t>
        </is>
      </c>
      <c r="E13" s="3" t="n">
        <v>1</v>
      </c>
      <c r="F13" s="3" t="inlineStr"/>
      <c r="G13" s="3" t="inlineStr"/>
      <c r="H13" s="3" t="inlineStr"/>
      <c r="I13" s="3">
        <f>E13*H13</f>
        <v/>
      </c>
    </row>
    <row r="14">
      <c r="A14" s="3" t="inlineStr">
        <is>
          <t>Aksesuar</t>
        </is>
      </c>
      <c r="B14" s="3" t="inlineStr">
        <is>
          <t>Ray uç kapak seti</t>
        </is>
      </c>
      <c r="C14" s="3" t="inlineStr">
        <is>
          <t>Magnet ray bağlantı + uç kapak</t>
        </is>
      </c>
      <c r="D14" s="3" t="inlineStr">
        <is>
          <t>takım</t>
        </is>
      </c>
      <c r="E14" s="3" t="n">
        <v>2</v>
      </c>
      <c r="F14" s="3" t="inlineStr"/>
      <c r="G14" s="3" t="inlineStr"/>
      <c r="H14" s="3" t="inlineStr"/>
      <c r="I14" s="3">
        <f>E14*H14</f>
        <v/>
      </c>
    </row>
    <row r="15">
      <c r="A15" s="3" t="inlineStr">
        <is>
          <t>Aksesuar</t>
        </is>
      </c>
      <c r="B15" s="3" t="inlineStr">
        <is>
          <t>Şerit profil + difüzör</t>
        </is>
      </c>
      <c r="C15" s="3" t="inlineStr">
        <is>
          <t>Alüminyum profil, opal kapak, 2 m boy</t>
        </is>
      </c>
      <c r="D15" s="3" t="inlineStr">
        <is>
          <t>m</t>
        </is>
      </c>
      <c r="E15" s="3" t="n">
        <v>8</v>
      </c>
      <c r="F15" s="3" t="inlineStr"/>
      <c r="G15" s="3" t="inlineStr"/>
      <c r="H15" s="3" t="inlineStr"/>
      <c r="I15" s="3">
        <f>E15*H15</f>
        <v/>
      </c>
    </row>
    <row r="16">
      <c r="A16" s="4" t="n"/>
      <c r="B16" s="4" t="n"/>
      <c r="C16" s="4" t="n"/>
      <c r="D16" s="4" t="n"/>
      <c r="E16" s="4" t="n"/>
      <c r="F16" s="4" t="inlineStr">
        <is>
          <t>TOPLAM</t>
        </is>
      </c>
      <c r="G16" s="4">
        <f>SUM(G4:G15)</f>
        <v/>
      </c>
      <c r="H16" s="4" t="inlineStr">
        <is>
          <t>TOPLAM</t>
        </is>
      </c>
      <c r="I16" s="4">
        <f>SUM(I4:I15)</f>
        <v/>
      </c>
    </row>
    <row r="18">
      <c r="A18" t="inlineStr">
        <is>
          <t>Enerji (kabuller: günde 10 saat, ayda 26 gün, 4.50 TL/kWh)</t>
        </is>
      </c>
    </row>
    <row r="19">
      <c r="A19" t="inlineStr">
        <is>
          <t>Kurulu güç</t>
        </is>
      </c>
      <c r="B19" t="n">
        <v>1721</v>
      </c>
      <c r="C19" t="inlineStr">
        <is>
          <t>W</t>
        </is>
      </c>
    </row>
    <row r="20">
      <c r="A20" t="inlineStr">
        <is>
          <t>Aylık tüketim</t>
        </is>
      </c>
      <c r="B20" t="n">
        <v>447</v>
      </c>
      <c r="C20" t="inlineStr">
        <is>
          <t>kWh</t>
        </is>
      </c>
    </row>
    <row r="21">
      <c r="A21" t="inlineStr">
        <is>
          <t>Aylık enerji gideri</t>
        </is>
      </c>
      <c r="B21" t="n">
        <v>2014</v>
      </c>
      <c r="C21" t="inlineStr">
        <is>
          <t>TL</t>
        </is>
      </c>
    </row>
    <row r="22">
      <c r="A22" t="inlineStr">
        <is>
          <t>Yıllık enerji gideri</t>
        </is>
      </c>
      <c r="B22" t="n">
        <v>24163</v>
      </c>
      <c r="C22" t="inlineStr">
        <is>
          <t>TL</t>
        </is>
      </c>
    </row>
    <row r="24">
      <c r="A24" t="inlineStr">
        <is>
          <t>Not: Birim fiyatlar GMC güncel liste fiyatıyla teklif aşamasında girilir; tutar sütunu otomatik hesaplanır.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2026-10-17T09:16:00Z</dcterms:created>
  <dcterms:modified xmlns:dcterms="http://purl.org/dc/terms/" xmlns:xsi="http://www.w3.org/2001/XMLSchema-instance" xsi:type="dcterms:W3CDTF">2026-10-17T09:16:00Z</dcterms:modified>
</cp:coreProperties>
</file>